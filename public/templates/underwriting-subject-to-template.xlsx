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ichaelaylett/Library/CloudStorage/Dropbox/PERS/A - BUSINESS/A - REAL ESTATE/UNDERWRITING/"/>
    </mc:Choice>
  </mc:AlternateContent>
  <xr:revisionPtr revIDLastSave="0" documentId="13_ncr:1_{EC6E2664-B7D7-144F-A9D9-942EB8602F87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33" i="1" s="1"/>
  <c r="C17" i="1"/>
  <c r="C11" i="1"/>
  <c r="D7" i="1"/>
  <c r="C6" i="1"/>
  <c r="F7" i="1"/>
  <c r="C4" i="1" l="1"/>
  <c r="C5" i="1" l="1"/>
  <c r="C7" i="1" s="1"/>
  <c r="C13" i="1"/>
  <c r="C15" i="1" s="1"/>
  <c r="C35" i="1" s="1"/>
</calcChain>
</file>

<file path=xl/sharedStrings.xml><?xml version="1.0" encoding="utf-8"?>
<sst xmlns="http://schemas.openxmlformats.org/spreadsheetml/2006/main" count="40" uniqueCount="39">
  <si>
    <t>Amount</t>
  </si>
  <si>
    <t>Percentage</t>
  </si>
  <si>
    <t>PI</t>
  </si>
  <si>
    <t>Purchase Price</t>
  </si>
  <si>
    <t>Annual Vacancy</t>
  </si>
  <si>
    <t>Seller Finance</t>
  </si>
  <si>
    <t>Effective Gross Income</t>
  </si>
  <si>
    <t/>
  </si>
  <si>
    <t>Annual Maintenance</t>
  </si>
  <si>
    <t>Loan Balance</t>
  </si>
  <si>
    <t>Annual Management</t>
  </si>
  <si>
    <t>Equity</t>
  </si>
  <si>
    <t>Annual Utilities, Cleaning, Lawn Care</t>
  </si>
  <si>
    <t>Annual Insurance</t>
  </si>
  <si>
    <t>Rate</t>
  </si>
  <si>
    <t>Annual Taxes</t>
  </si>
  <si>
    <t>Annual PI</t>
  </si>
  <si>
    <t>Notes</t>
  </si>
  <si>
    <t>Monthly Operating Cost</t>
  </si>
  <si>
    <t>Monthly Rents</t>
  </si>
  <si>
    <t>Monthly Cash Flow</t>
  </si>
  <si>
    <t>7 bedrooms sharing baths, 1 ensuite</t>
  </si>
  <si>
    <t>Monthly PITI</t>
  </si>
  <si>
    <t>Down Payment</t>
  </si>
  <si>
    <t>Holding Costs</t>
  </si>
  <si>
    <t>Reserves</t>
  </si>
  <si>
    <t>Upfront Insurance Cost</t>
  </si>
  <si>
    <t>Acquisition Cost</t>
  </si>
  <si>
    <t>Closing Costs</t>
  </si>
  <si>
    <t>Total Capital Required</t>
  </si>
  <si>
    <t>C on C Return</t>
  </si>
  <si>
    <t>LLC</t>
  </si>
  <si>
    <t>Renovations</t>
  </si>
  <si>
    <t>Appliances</t>
  </si>
  <si>
    <t>Furniture</t>
  </si>
  <si>
    <t>Photos</t>
  </si>
  <si>
    <t>TC</t>
  </si>
  <si>
    <t>Agent Fee</t>
  </si>
  <si>
    <t>Assignment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</si>
</sst>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2" fillId="0" borderId="3" xfId="0" applyFont="1" applyBorder="1"/>
    <xf numFmtId="0" fontId="2" fillId="2" borderId="0" xfId="0" applyFont="1" applyFill="1"/>
    <xf numFmtId="0" fontId="1" fillId="0" borderId="4" xfId="0" applyFont="1" applyBorder="1"/>
    <xf numFmtId="44" fontId="3" fillId="3" borderId="0" xfId="0" applyNumberFormat="1" applyFont="1" applyFill="1" applyAlignment="1">
      <alignment horizontal="right"/>
    </xf>
    <xf numFmtId="3" fontId="2" fillId="0" borderId="0" xfId="0" applyNumberFormat="1" applyFont="1"/>
    <xf numFmtId="0" fontId="2" fillId="0" borderId="0" xfId="0" applyFont="1"/>
    <xf numFmtId="0" fontId="2" fillId="0" borderId="5" xfId="0" applyFont="1" applyBorder="1"/>
    <xf numFmtId="0" fontId="3" fillId="0" borderId="5" xfId="0" applyFont="1" applyBorder="1"/>
    <xf numFmtId="44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center"/>
    </xf>
    <xf numFmtId="0" fontId="2" fillId="0" borderId="0" xfId="0" quotePrefix="1" applyFont="1"/>
    <xf numFmtId="44" fontId="2" fillId="0" borderId="0" xfId="0" applyNumberFormat="1" applyFont="1"/>
    <xf numFmtId="9" fontId="2" fillId="0" borderId="0" xfId="0" applyNumberFormat="1" applyFont="1"/>
    <xf numFmtId="0" fontId="3" fillId="0" borderId="0" xfId="0" applyFont="1"/>
    <xf numFmtId="44" fontId="3" fillId="3" borderId="5" xfId="0" applyNumberFormat="1" applyFont="1" applyFill="1" applyBorder="1" applyAlignment="1">
      <alignment horizontal="right"/>
    </xf>
    <xf numFmtId="44" fontId="3" fillId="2" borderId="5" xfId="0" applyNumberFormat="1" applyFont="1" applyFill="1" applyBorder="1" applyAlignment="1">
      <alignment horizontal="right"/>
    </xf>
    <xf numFmtId="0" fontId="1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10" fontId="3" fillId="3" borderId="5" xfId="0" applyNumberFormat="1" applyFont="1" applyFill="1" applyBorder="1" applyAlignment="1">
      <alignment horizontal="right"/>
    </xf>
    <xf numFmtId="44" fontId="2" fillId="0" borderId="5" xfId="0" applyNumberFormat="1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44" fontId="3" fillId="4" borderId="0" xfId="0" applyNumberFormat="1" applyFont="1" applyFill="1" applyAlignment="1">
      <alignment horizontal="right"/>
    </xf>
    <xf numFmtId="44" fontId="1" fillId="0" borderId="4" xfId="0" applyNumberFormat="1" applyFont="1" applyBorder="1"/>
    <xf numFmtId="44" fontId="2" fillId="0" borderId="4" xfId="0" applyNumberFormat="1" applyFont="1" applyBorder="1"/>
    <xf numFmtId="10" fontId="2" fillId="0" borderId="0" xfId="0" applyNumberFormat="1" applyFont="1"/>
    <xf numFmtId="0" fontId="1" fillId="0" borderId="6" xfId="0" applyFont="1" applyBorder="1"/>
    <xf numFmtId="10" fontId="3" fillId="4" borderId="7" xfId="0" applyNumberFormat="1" applyFont="1" applyFill="1" applyBorder="1" applyAlignment="1">
      <alignment horizontal="right"/>
    </xf>
    <xf numFmtId="0" fontId="2" fillId="0" borderId="7" xfId="0" applyFont="1" applyBorder="1"/>
    <xf numFmtId="0" fontId="3" fillId="0" borderId="0" xfId="0" applyFont="1" applyAlignment="1">
      <alignment wrapText="1"/>
    </xf>
    <xf numFmtId="0" fontId="4" fillId="0" borderId="5" xfId="0" applyFont="1" applyBorder="1"/>
    <xf numFmtId="0" fontId="0" fillId="0" borderId="0" xfId="0"/>
    <xf numFmtId="0" fontId="4" fillId="0" borderId="7" xfId="0" applyFont="1" applyBorder="1"/>
    <xf numFmtId="0" fontId="4" fillId="0" borderId="8" xfId="0" applyFont="1" applyBorder="1"/>
    <xf numFmtId="0" fontId="5" fillId="0" borderId="4" xfId="0" applyFont="1" applyBorder="1" applyAlignment="1">
      <alignment horizontal="center"/>
    </xf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35"/>
  <sheetViews>
    <sheetView tabSelected="1" workbookViewId="0">
      <selection activeCell="J15" sqref="J15"/>
    </sheetView>
  </sheetViews>
  <sheetFormatPr baseColWidth="10" defaultColWidth="12.6640625" defaultRowHeight="15.75" customHeight="1" x14ac:dyDescent="0.15"/>
  <cols>
    <col min="1" max="1" width="2.1640625" customWidth="1"/>
    <col min="2" max="2" width="36.1640625" customWidth="1"/>
    <col min="3" max="3" width="14" bestFit="1" customWidth="1"/>
    <col min="4" max="4" width="11.6640625" customWidth="1"/>
    <col min="5" max="5" width="13.83203125" bestFit="1" customWidth="1"/>
    <col min="6" max="6" width="14.33203125" bestFit="1" customWidth="1"/>
  </cols>
  <sheetData>
    <row r="2" spans="2:7" ht="16" x14ac:dyDescent="0.2">
      <c r="B2" s="1"/>
      <c r="C2" s="2" t="s">
        <v>0</v>
      </c>
      <c r="D2" s="3" t="s">
        <v>1</v>
      </c>
      <c r="E2" s="3" t="s">
        <v>2</v>
      </c>
      <c r="F2" s="4"/>
      <c r="G2" s="5"/>
    </row>
    <row r="3" spans="2:7" ht="16" x14ac:dyDescent="0.2">
      <c r="B3" s="6" t="s">
        <v>3</v>
      </c>
      <c r="C3" s="7"/>
      <c r="D3" s="8"/>
      <c r="E3" s="7"/>
      <c r="F3" s="11" t="s">
        <v>2</v>
      </c>
      <c r="G3" s="5"/>
    </row>
    <row r="4" spans="2:7" ht="16" x14ac:dyDescent="0.2">
      <c r="B4" s="6" t="s">
        <v>4</v>
      </c>
      <c r="C4" s="12">
        <f>C14*12*D4</f>
        <v>0</v>
      </c>
      <c r="D4" s="13">
        <v>0.1</v>
      </c>
      <c r="E4" s="7"/>
      <c r="F4" s="11" t="s">
        <v>5</v>
      </c>
      <c r="G4" s="5"/>
    </row>
    <row r="5" spans="2:7" ht="16" x14ac:dyDescent="0.2">
      <c r="B5" s="6" t="s">
        <v>6</v>
      </c>
      <c r="C5" s="12">
        <f>(C14*12)-C4</f>
        <v>0</v>
      </c>
      <c r="D5" s="14" t="s">
        <v>7</v>
      </c>
      <c r="E5" s="15"/>
      <c r="F5" s="10"/>
      <c r="G5" s="5"/>
    </row>
    <row r="6" spans="2:7" ht="16" x14ac:dyDescent="0.2">
      <c r="B6" s="6" t="s">
        <v>8</v>
      </c>
      <c r="C6" s="12">
        <f>400*12</f>
        <v>4800</v>
      </c>
      <c r="D6" s="16"/>
      <c r="E6" s="17" t="s">
        <v>9</v>
      </c>
      <c r="F6" s="18"/>
      <c r="G6" s="5"/>
    </row>
    <row r="7" spans="2:7" ht="16" x14ac:dyDescent="0.2">
      <c r="B7" s="6" t="s">
        <v>10</v>
      </c>
      <c r="C7" s="12">
        <f>(C5*D7)</f>
        <v>0</v>
      </c>
      <c r="D7" s="13">
        <f>15%+5%</f>
        <v>0.2</v>
      </c>
      <c r="E7" s="17" t="s">
        <v>11</v>
      </c>
      <c r="F7" s="19" t="e">
        <f>#REF!-F6</f>
        <v>#REF!</v>
      </c>
      <c r="G7" s="5"/>
    </row>
    <row r="8" spans="2:7" ht="34" x14ac:dyDescent="0.2">
      <c r="B8" s="20" t="s">
        <v>12</v>
      </c>
      <c r="C8" s="7"/>
      <c r="D8" s="9"/>
      <c r="E8" s="21"/>
      <c r="F8" s="23"/>
      <c r="G8" s="5"/>
    </row>
    <row r="9" spans="2:7" ht="16" x14ac:dyDescent="0.2">
      <c r="B9" s="6" t="s">
        <v>13</v>
      </c>
      <c r="C9" s="7"/>
      <c r="D9" s="9"/>
      <c r="E9" s="17" t="s">
        <v>14</v>
      </c>
      <c r="F9" s="22"/>
      <c r="G9" s="5"/>
    </row>
    <row r="10" spans="2:7" ht="16" x14ac:dyDescent="0.2">
      <c r="B10" s="6" t="s">
        <v>15</v>
      </c>
      <c r="C10" s="7"/>
      <c r="D10" s="9"/>
      <c r="E10" s="9"/>
      <c r="F10" s="23"/>
      <c r="G10" s="5"/>
    </row>
    <row r="11" spans="2:7" ht="16" x14ac:dyDescent="0.2">
      <c r="B11" s="6" t="s">
        <v>16</v>
      </c>
      <c r="C11" s="12">
        <f>(E3+E4)*12</f>
        <v>0</v>
      </c>
      <c r="D11" s="9"/>
      <c r="E11" s="17" t="s">
        <v>17</v>
      </c>
      <c r="F11" s="10"/>
      <c r="G11" s="5"/>
    </row>
    <row r="12" spans="2:7" ht="15.75" customHeight="1" x14ac:dyDescent="0.15">
      <c r="B12" s="24"/>
      <c r="C12" s="15"/>
      <c r="D12" s="9"/>
      <c r="E12" s="33"/>
      <c r="F12" s="34"/>
      <c r="G12" s="5"/>
    </row>
    <row r="13" spans="2:7" ht="15.75" customHeight="1" x14ac:dyDescent="0.2">
      <c r="B13" s="6" t="s">
        <v>18</v>
      </c>
      <c r="C13" s="12">
        <f>(C4+C6+C7+C8+C9+C10+C11)/12</f>
        <v>400</v>
      </c>
      <c r="D13" s="16"/>
      <c r="E13" s="35"/>
      <c r="F13" s="34"/>
      <c r="G13" s="5"/>
    </row>
    <row r="14" spans="2:7" ht="15.75" customHeight="1" x14ac:dyDescent="0.2">
      <c r="B14" s="6" t="s">
        <v>19</v>
      </c>
      <c r="C14" s="7"/>
      <c r="D14" s="25"/>
      <c r="E14" s="35"/>
      <c r="F14" s="34"/>
      <c r="G14" s="5"/>
    </row>
    <row r="15" spans="2:7" ht="15.75" customHeight="1" x14ac:dyDescent="0.2">
      <c r="B15" s="6" t="s">
        <v>20</v>
      </c>
      <c r="C15" s="26" t="e">
        <f>(((C14-C13)/F8)-E5)</f>
        <v>#DIV/0!</v>
      </c>
      <c r="D15" s="25"/>
      <c r="E15" s="35"/>
      <c r="F15" s="34"/>
      <c r="G15" s="5"/>
    </row>
    <row r="16" spans="2:7" ht="15.75" customHeight="1" x14ac:dyDescent="0.15">
      <c r="B16" s="38" t="s">
        <v>21</v>
      </c>
      <c r="C16" s="35"/>
      <c r="D16" s="35"/>
      <c r="E16" s="35"/>
      <c r="F16" s="34"/>
      <c r="G16" s="5"/>
    </row>
    <row r="17" spans="2:7" ht="15.75" customHeight="1" x14ac:dyDescent="0.2">
      <c r="B17" s="27" t="s">
        <v>22</v>
      </c>
      <c r="C17" s="12">
        <f>SUM(E3:E4)+(C9+C10)/12</f>
        <v>0</v>
      </c>
      <c r="D17" s="9"/>
      <c r="E17" s="35"/>
      <c r="F17" s="34"/>
      <c r="G17" s="5"/>
    </row>
    <row r="18" spans="2:7" ht="15.75" customHeight="1" x14ac:dyDescent="0.15">
      <c r="B18" s="28"/>
      <c r="C18" s="15"/>
      <c r="D18" s="9"/>
      <c r="E18" s="35"/>
      <c r="F18" s="34"/>
      <c r="G18" s="5"/>
    </row>
    <row r="19" spans="2:7" ht="15.75" customHeight="1" x14ac:dyDescent="0.2">
      <c r="B19" s="6" t="s">
        <v>23</v>
      </c>
      <c r="C19" s="7"/>
      <c r="D19" s="15"/>
      <c r="E19" s="35"/>
      <c r="F19" s="34"/>
      <c r="G19" s="5"/>
    </row>
    <row r="20" spans="2:7" ht="15.75" customHeight="1" x14ac:dyDescent="0.2">
      <c r="B20" s="6" t="s">
        <v>32</v>
      </c>
      <c r="C20" s="7"/>
      <c r="D20" s="9"/>
      <c r="E20" s="35"/>
      <c r="F20" s="34"/>
      <c r="G20" s="5"/>
    </row>
    <row r="21" spans="2:7" ht="15.75" customHeight="1" x14ac:dyDescent="0.2">
      <c r="B21" s="6" t="s">
        <v>34</v>
      </c>
      <c r="C21" s="7"/>
      <c r="D21" s="9"/>
      <c r="E21" s="35"/>
      <c r="F21" s="34"/>
      <c r="G21" s="5"/>
    </row>
    <row r="22" spans="2:7" ht="15.75" customHeight="1" x14ac:dyDescent="0.2">
      <c r="B22" s="6" t="s">
        <v>33</v>
      </c>
      <c r="C22" s="7"/>
      <c r="D22" s="9"/>
      <c r="E22" s="35"/>
      <c r="F22" s="34"/>
      <c r="G22" s="5"/>
    </row>
    <row r="23" spans="2:7" ht="15.75" customHeight="1" x14ac:dyDescent="0.2">
      <c r="B23" s="6" t="s">
        <v>35</v>
      </c>
      <c r="C23" s="7"/>
      <c r="D23" s="9"/>
      <c r="E23" s="35"/>
      <c r="F23" s="34"/>
      <c r="G23" s="5"/>
    </row>
    <row r="24" spans="2:7" ht="15.75" customHeight="1" x14ac:dyDescent="0.2">
      <c r="B24" s="6" t="s">
        <v>24</v>
      </c>
      <c r="C24" s="7"/>
      <c r="D24" s="9"/>
      <c r="E24" s="35"/>
      <c r="F24" s="34"/>
      <c r="G24" s="5"/>
    </row>
    <row r="25" spans="2:7" ht="15.75" customHeight="1" x14ac:dyDescent="0.2">
      <c r="B25" s="6" t="s">
        <v>25</v>
      </c>
      <c r="C25" s="7"/>
      <c r="D25" s="9"/>
      <c r="E25" s="35"/>
      <c r="F25" s="34"/>
      <c r="G25" s="5"/>
    </row>
    <row r="26" spans="2:7" ht="15.75" customHeight="1" x14ac:dyDescent="0.2">
      <c r="B26" s="6" t="s">
        <v>26</v>
      </c>
      <c r="C26" s="7"/>
      <c r="D26" s="9"/>
      <c r="E26" s="35"/>
      <c r="F26" s="34"/>
      <c r="G26" s="5"/>
    </row>
    <row r="27" spans="2:7" ht="15.75" customHeight="1" x14ac:dyDescent="0.2">
      <c r="B27" s="6" t="s">
        <v>27</v>
      </c>
      <c r="C27" s="7"/>
      <c r="D27" s="9"/>
      <c r="E27" s="35"/>
      <c r="F27" s="34"/>
      <c r="G27" s="5"/>
    </row>
    <row r="28" spans="2:7" ht="15.75" customHeight="1" x14ac:dyDescent="0.2">
      <c r="B28" s="6" t="s">
        <v>36</v>
      </c>
      <c r="C28" s="7"/>
      <c r="D28" s="9"/>
      <c r="E28" s="35"/>
      <c r="F28" s="34"/>
      <c r="G28" s="5"/>
    </row>
    <row r="29" spans="2:7" ht="15.75" customHeight="1" x14ac:dyDescent="0.2">
      <c r="B29" s="6" t="s">
        <v>31</v>
      </c>
      <c r="C29" s="7"/>
      <c r="D29" s="29"/>
      <c r="E29" s="35"/>
      <c r="F29" s="34"/>
      <c r="G29" s="5"/>
    </row>
    <row r="30" spans="2:7" ht="15.75" customHeight="1" x14ac:dyDescent="0.2">
      <c r="B30" s="6" t="s">
        <v>28</v>
      </c>
      <c r="C30" s="12">
        <f>C3*D30</f>
        <v>0</v>
      </c>
      <c r="D30" s="39">
        <v>1.4999999999999999E-2</v>
      </c>
      <c r="E30" s="35"/>
      <c r="F30" s="34"/>
      <c r="G30" s="5"/>
    </row>
    <row r="31" spans="2:7" ht="15.75" customHeight="1" x14ac:dyDescent="0.2">
      <c r="B31" s="6" t="s">
        <v>37</v>
      </c>
      <c r="C31" s="7"/>
      <c r="D31" s="39"/>
      <c r="E31" s="35"/>
      <c r="F31" s="34"/>
      <c r="G31" s="5"/>
    </row>
    <row r="32" spans="2:7" ht="15.75" customHeight="1" x14ac:dyDescent="0.2">
      <c r="B32" s="6" t="s">
        <v>38</v>
      </c>
      <c r="C32" s="7"/>
      <c r="D32" s="29"/>
      <c r="E32" s="35"/>
      <c r="F32" s="34"/>
      <c r="G32" s="5"/>
    </row>
    <row r="33" spans="2:7" ht="15.75" customHeight="1" x14ac:dyDescent="0.2">
      <c r="B33" s="6" t="s">
        <v>29</v>
      </c>
      <c r="C33" s="12">
        <f>SUM(C19:C32)</f>
        <v>0</v>
      </c>
      <c r="D33" s="29"/>
      <c r="E33" s="35"/>
      <c r="F33" s="34"/>
      <c r="G33" s="5"/>
    </row>
    <row r="34" spans="2:7" ht="15.75" customHeight="1" x14ac:dyDescent="0.15">
      <c r="B34" s="24"/>
      <c r="C34" s="29"/>
      <c r="D34" s="9"/>
      <c r="E34" s="35"/>
      <c r="F34" s="34"/>
      <c r="G34" s="5"/>
    </row>
    <row r="35" spans="2:7" ht="15.75" customHeight="1" x14ac:dyDescent="0.2">
      <c r="B35" s="30" t="s">
        <v>30</v>
      </c>
      <c r="C35" s="31" t="e">
        <f>(C15*12)/C33</f>
        <v>#DIV/0!</v>
      </c>
      <c r="D35" s="32"/>
      <c r="E35" s="36"/>
      <c r="F35" s="37"/>
      <c r="G35" s="5"/>
    </row>
  </sheetData>
  <mergeCells count="2">
    <mergeCell ref="E12:F35"/>
    <mergeCell ref="B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Aylett</cp:lastModifiedBy>
  <dcterms:modified xsi:type="dcterms:W3CDTF">2026-07-23T01:32:37Z</dcterms:modified>
</cp:coreProperties>
</file>